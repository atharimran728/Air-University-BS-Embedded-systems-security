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604277\Downloads\"/>
    </mc:Choice>
  </mc:AlternateContent>
  <xr:revisionPtr revIDLastSave="0" documentId="13_ncr:1_{401210AA-9F9E-48C8-8B5F-61C6CF049F9A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Budget" sheetId="1" r:id="rId1"/>
    <sheet name="Incident Log" sheetId="3" r:id="rId2"/>
    <sheet name="Verification" sheetId="5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J5" i="3"/>
  <c r="J4" i="3"/>
  <c r="J3" i="3"/>
  <c r="J2" i="3"/>
  <c r="C13" i="1"/>
  <c r="B15" i="1" s="1"/>
  <c r="B13" i="1"/>
  <c r="F12" i="1"/>
  <c r="E12" i="1"/>
  <c r="D12" i="1"/>
  <c r="F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D13" i="1" s="1"/>
  <c r="E13" i="1" l="1"/>
  <c r="E11" i="1"/>
</calcChain>
</file>

<file path=xl/sharedStrings.xml><?xml version="1.0" encoding="utf-8"?>
<sst xmlns="http://schemas.openxmlformats.org/spreadsheetml/2006/main" count="134" uniqueCount="89">
  <si>
    <t>Monthly Student Budget — October 2026</t>
  </si>
  <si>
    <t>Monthly Allowance (PKR)</t>
  </si>
  <si>
    <t>Category</t>
  </si>
  <si>
    <t>Budgeted</t>
  </si>
  <si>
    <t>Actual</t>
  </si>
  <si>
    <t>Difference</t>
  </si>
  <si>
    <t>% of Spend</t>
  </si>
  <si>
    <t>Remark</t>
  </si>
  <si>
    <t>Hostel Rent</t>
  </si>
  <si>
    <t>Mess &amp; Food</t>
  </si>
  <si>
    <t>Transport</t>
  </si>
  <si>
    <t>Mobile &amp; Internet</t>
  </si>
  <si>
    <t>Books &amp; Stationery</t>
  </si>
  <si>
    <t>Utilities &amp; Laundry</t>
  </si>
  <si>
    <t>Health &amp; Personal Care</t>
  </si>
  <si>
    <t>Entertainment &amp; Misc.</t>
  </si>
  <si>
    <t>Total</t>
  </si>
  <si>
    <t>Savings (Allowance − Actual)</t>
  </si>
  <si>
    <t>Note:</t>
  </si>
  <si>
    <t>Negative Difference means actual spending exceeded the budget.</t>
  </si>
  <si>
    <t>Incident ID</t>
  </si>
  <si>
    <t>Date</t>
  </si>
  <si>
    <t>Incident Type</t>
  </si>
  <si>
    <t>Severity</t>
  </si>
  <si>
    <t>Department</t>
  </si>
  <si>
    <t>Status</t>
  </si>
  <si>
    <t>Hours</t>
  </si>
  <si>
    <t>Severity Summary</t>
  </si>
  <si>
    <t>Count / Result</t>
  </si>
  <si>
    <t>INC-001</t>
  </si>
  <si>
    <t>Phishing Email</t>
  </si>
  <si>
    <t>Medium</t>
  </si>
  <si>
    <t>Admissions</t>
  </si>
  <si>
    <t>Resolved</t>
  </si>
  <si>
    <t>Low</t>
  </si>
  <si>
    <t>INC-002</t>
  </si>
  <si>
    <t>Malware Infection</t>
  </si>
  <si>
    <t>High</t>
  </si>
  <si>
    <t>Finance</t>
  </si>
  <si>
    <t>INC-003</t>
  </si>
  <si>
    <t>Unauthorized Access</t>
  </si>
  <si>
    <t>Critical</t>
  </si>
  <si>
    <t>IT Services</t>
  </si>
  <si>
    <t>INC-004</t>
  </si>
  <si>
    <t>Library</t>
  </si>
  <si>
    <t>INC-005</t>
  </si>
  <si>
    <t>Lost/Stolen Device</t>
  </si>
  <si>
    <t>Faculty</t>
  </si>
  <si>
    <t>Open</t>
  </si>
  <si>
    <t>Total Incidents</t>
  </si>
  <si>
    <t>INC-006</t>
  </si>
  <si>
    <t>DDoS Attack</t>
  </si>
  <si>
    <t>Open Incidents</t>
  </si>
  <si>
    <t>INC-007</t>
  </si>
  <si>
    <t>HR</t>
  </si>
  <si>
    <t>Phishing Incidents</t>
  </si>
  <si>
    <t>INC-008</t>
  </si>
  <si>
    <t>Data Leak</t>
  </si>
  <si>
    <t>Examinations</t>
  </si>
  <si>
    <t>Avg Hours to Resolve</t>
  </si>
  <si>
    <t>INC-009</t>
  </si>
  <si>
    <t>Hostel</t>
  </si>
  <si>
    <t>Longest Resolution (hrs)</t>
  </si>
  <si>
    <t>INC-010</t>
  </si>
  <si>
    <t>Weak Password Use</t>
  </si>
  <si>
    <t>INC-011</t>
  </si>
  <si>
    <t>INC-012</t>
  </si>
  <si>
    <t>Blank Hours = incident still open</t>
  </si>
  <si>
    <t>Budget</t>
  </si>
  <si>
    <t>Number of “Over” remarks</t>
  </si>
  <si>
    <t>Sheet</t>
  </si>
  <si>
    <t>Cell / Check</t>
  </si>
  <si>
    <t>Expected Value</t>
  </si>
  <si>
    <t>IncidentLog</t>
  </si>
  <si>
    <t>B13- Total Budgeted</t>
  </si>
  <si>
    <t>C13- Total Actual</t>
  </si>
  <si>
    <t>D13- Difference</t>
  </si>
  <si>
    <t>E5- % of Spend</t>
  </si>
  <si>
    <t>E6- % of Spend</t>
  </si>
  <si>
    <t>B15- Savings</t>
  </si>
  <si>
    <t>J2- Low Severity</t>
  </si>
  <si>
    <t>J3- Medium Severity</t>
  </si>
  <si>
    <t>J4- High Severity</t>
  </si>
  <si>
    <t>J5- Critical Severity</t>
  </si>
  <si>
    <t>J6- Total Incidents</t>
  </si>
  <si>
    <t>J7- Open Incidents</t>
  </si>
  <si>
    <t>J8- Phishing Incidents</t>
  </si>
  <si>
    <t>J9- Average Resolution Hours</t>
  </si>
  <si>
    <t>J10- Longest Resolution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</si>
</sst>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9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9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0" fillId="0" borderId="0" xfId="0"/>
    <xf numFmtId="0" fontId="3" fillId="0" borderId="0" xfId="0" applyFont="1"/>
    <xf numFmtId="38" fontId="0" fillId="0" borderId="0" xfId="0" applyNumberFormat="1"/>
    <xf numFmtId="0" fontId="4" fillId="3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/>
    <xf numFmtId="38" fontId="3" fillId="0" borderId="1" xfId="0" applyNumberFormat="1" applyFont="1" applyBorder="1"/>
    <xf numFmtId="164" fontId="3" fillId="0" borderId="1" xfId="0" applyNumberFormat="1" applyFont="1" applyBorder="1"/>
    <xf numFmtId="38" fontId="3" fillId="0" borderId="0" xfId="0" applyNumberFormat="1" applyFont="1"/>
    <xf numFmtId="0" fontId="0" fillId="0" borderId="0" xfId="0"/>
    <xf numFmtId="0" fontId="4" fillId="2" borderId="0" xfId="0" applyFont="1" applyFill="1" applyAlignment="1">
      <alignment horizontal="center"/>
    </xf>
    <xf numFmtId="0" fontId="4" fillId="3" borderId="0" xfId="0" applyFont="1" applyFill="1"/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4">
    <dxf>
      <font>
        <b/>
        <color rgb="FFFF0000"/>
      </font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Budgeted vs Actual Spending (PKR)</a:t>
            </a:r>
          </a:p>
        </c:rich>
      </c:tx>
      <c:layout>
        <c:manualLayout>
          <c:xMode val="edge"/>
          <c:yMode val="edge"/>
          <c:x val="2.7145486111111117E-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409722222222222E-3"/>
          <c:y val="0"/>
          <c:w val="0.95149305555555552"/>
          <c:h val="0.908692810457516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[1]Budget!$B$4</c:f>
              <c:strCache>
                <c:ptCount val="1"/>
                <c:pt idx="0">
                  <c:v>Budgeted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[1]Budget!$A$5:$A$12</c:f>
              <c:strCache>
                <c:ptCount val="8"/>
                <c:pt idx="0">
                  <c:v>Hostel Rent</c:v>
                </c:pt>
                <c:pt idx="1">
                  <c:v>Mess &amp; Food</c:v>
                </c:pt>
                <c:pt idx="2">
                  <c:v>Transport</c:v>
                </c:pt>
                <c:pt idx="3">
                  <c:v>Mobile &amp; Internet</c:v>
                </c:pt>
                <c:pt idx="4">
                  <c:v>Books &amp; Stationery</c:v>
                </c:pt>
                <c:pt idx="5">
                  <c:v>Utilities &amp; Laundry</c:v>
                </c:pt>
                <c:pt idx="6">
                  <c:v>Health &amp; Personal Care</c:v>
                </c:pt>
                <c:pt idx="7">
                  <c:v>Entertainment &amp; Misc.</c:v>
                </c:pt>
              </c:strCache>
            </c:strRef>
          </c:cat>
          <c:val>
            <c:numRef>
              <c:f>[1]Budget!$B$5:$B$12</c:f>
              <c:numCache>
                <c:formatCode>General</c:formatCode>
                <c:ptCount val="8"/>
                <c:pt idx="0">
                  <c:v>18000</c:v>
                </c:pt>
                <c:pt idx="1">
                  <c:v>14000</c:v>
                </c:pt>
                <c:pt idx="2">
                  <c:v>5000</c:v>
                </c:pt>
                <c:pt idx="3">
                  <c:v>2500</c:v>
                </c:pt>
                <c:pt idx="4">
                  <c:v>3000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5-4768-BA84-D1643A5F57BD}"/>
            </c:ext>
          </c:extLst>
        </c:ser>
        <c:ser>
          <c:idx val="1"/>
          <c:order val="1"/>
          <c:tx>
            <c:strRef>
              <c:f>[1]Budget!$C$4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[1]Budget!$A$5:$A$12</c:f>
              <c:strCache>
                <c:ptCount val="8"/>
                <c:pt idx="0">
                  <c:v>Hostel Rent</c:v>
                </c:pt>
                <c:pt idx="1">
                  <c:v>Mess &amp; Food</c:v>
                </c:pt>
                <c:pt idx="2">
                  <c:v>Transport</c:v>
                </c:pt>
                <c:pt idx="3">
                  <c:v>Mobile &amp; Internet</c:v>
                </c:pt>
                <c:pt idx="4">
                  <c:v>Books &amp; Stationery</c:v>
                </c:pt>
                <c:pt idx="5">
                  <c:v>Utilities &amp; Laundry</c:v>
                </c:pt>
                <c:pt idx="6">
                  <c:v>Health &amp; Personal Care</c:v>
                </c:pt>
                <c:pt idx="7">
                  <c:v>Entertainment &amp; Misc.</c:v>
                </c:pt>
              </c:strCache>
            </c:strRef>
          </c:cat>
          <c:val>
            <c:numRef>
              <c:f>[1]Budget!$C$5:$C$12</c:f>
              <c:numCache>
                <c:formatCode>General</c:formatCode>
                <c:ptCount val="8"/>
                <c:pt idx="0">
                  <c:v>18000</c:v>
                </c:pt>
                <c:pt idx="1">
                  <c:v>15250</c:v>
                </c:pt>
                <c:pt idx="2">
                  <c:v>4300</c:v>
                </c:pt>
                <c:pt idx="3">
                  <c:v>2800</c:v>
                </c:pt>
                <c:pt idx="4">
                  <c:v>2150</c:v>
                </c:pt>
                <c:pt idx="5">
                  <c:v>1900</c:v>
                </c:pt>
                <c:pt idx="6">
                  <c:v>2600</c:v>
                </c:pt>
                <c:pt idx="7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5-4768-BA84-D1643A5F5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(PKR)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2240295138888877"/>
          <c:y val="0.9124990196078433"/>
          <c:w val="0.22988142361111111"/>
          <c:h val="7.5050000000000006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Incidents by Severity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[2]IncidentLog!$J$1</c:f>
              <c:strCache>
                <c:ptCount val="1"/>
                <c:pt idx="0">
                  <c:v>Count / Result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[2]IncidentLog!$I$2:$I$5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[2]IncidentLog!$J$2:$J$5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F-417A-B66E-F74B61C778F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0</xdr:row>
      <xdr:rowOff>66675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E90B4-0C25-4DF7-9F14-90C54DF3C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300037</xdr:colOff>
      <xdr:row>0</xdr:row>
      <xdr:rowOff>171450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6632F-C319-4A69-ABB5-1DFC06BB6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604277\Downloads\Monthly_Student_Budget_October_2026.xlsx" TargetMode="External"/><Relationship Id="rId1" Type="http://schemas.openxmlformats.org/officeDocument/2006/relationships/externalLinkPath" Target="Monthly_Student_Budget_Octobe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2604277\Downloads\Cyber_Security_Incident_Log_September_2026.xlsx" TargetMode="External"/><Relationship Id="rId1" Type="http://schemas.openxmlformats.org/officeDocument/2006/relationships/externalLinkPath" Target="Cyber_Security_Incident_Log_September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"/>
    </sheetNames>
    <sheetDataSet>
      <sheetData sheetId="0">
        <row r="4">
          <cell r="B4" t="str">
            <v>Budgeted</v>
          </cell>
          <cell r="C4" t="str">
            <v>Actual</v>
          </cell>
        </row>
        <row r="5">
          <cell r="A5" t="str">
            <v>Hostel Rent</v>
          </cell>
          <cell r="B5">
            <v>18000</v>
          </cell>
          <cell r="C5">
            <v>18000</v>
          </cell>
        </row>
        <row r="6">
          <cell r="A6" t="str">
            <v>Mess &amp; Food</v>
          </cell>
          <cell r="B6">
            <v>14000</v>
          </cell>
          <cell r="C6">
            <v>15250</v>
          </cell>
        </row>
        <row r="7">
          <cell r="A7" t="str">
            <v>Transport</v>
          </cell>
          <cell r="B7">
            <v>5000</v>
          </cell>
          <cell r="C7">
            <v>4300</v>
          </cell>
        </row>
        <row r="8">
          <cell r="A8" t="str">
            <v>Mobile &amp; Internet</v>
          </cell>
          <cell r="B8">
            <v>2500</v>
          </cell>
          <cell r="C8">
            <v>2800</v>
          </cell>
        </row>
        <row r="9">
          <cell r="A9" t="str">
            <v>Books &amp; Stationery</v>
          </cell>
          <cell r="B9">
            <v>3000</v>
          </cell>
          <cell r="C9">
            <v>2150</v>
          </cell>
        </row>
        <row r="10">
          <cell r="A10" t="str">
            <v>Utilities &amp; Laundry</v>
          </cell>
          <cell r="B10">
            <v>2000</v>
          </cell>
          <cell r="C10">
            <v>1900</v>
          </cell>
        </row>
        <row r="11">
          <cell r="A11" t="str">
            <v>Health &amp; Personal Care</v>
          </cell>
          <cell r="B11">
            <v>2500</v>
          </cell>
          <cell r="C11">
            <v>2600</v>
          </cell>
        </row>
        <row r="12">
          <cell r="A12" t="str">
            <v>Entertainment &amp; Misc.</v>
          </cell>
          <cell r="B12">
            <v>3000</v>
          </cell>
          <cell r="C12">
            <v>3700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identLog"/>
    </sheetNames>
    <sheetDataSet>
      <sheetData sheetId="0">
        <row r="1">
          <cell r="J1" t="str">
            <v>Count / Result</v>
          </cell>
        </row>
        <row r="2">
          <cell r="I2" t="str">
            <v>Low</v>
          </cell>
          <cell r="J2">
            <v>3</v>
          </cell>
        </row>
        <row r="3">
          <cell r="I3" t="str">
            <v>Medium</v>
          </cell>
          <cell r="J3">
            <v>4</v>
          </cell>
        </row>
        <row r="4">
          <cell r="I4" t="str">
            <v>High</v>
          </cell>
          <cell r="J4">
            <v>3</v>
          </cell>
        </row>
        <row r="5">
          <cell r="I5" t="str">
            <v>Critical</v>
          </cell>
          <cell r="J5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B31" sqref="B31"/>
    </sheetView>
  </sheetViews>
  <sheetFormatPr defaultRowHeight="15" x14ac:dyDescent="0.25"/>
  <cols>
    <col min="1" max="1" width="26.7109375" bestFit="1" customWidth="1"/>
    <col min="2" max="2" width="9.5703125" bestFit="1" customWidth="1"/>
    <col min="3" max="3" width="6.5703125" bestFit="1" customWidth="1"/>
    <col min="4" max="4" width="10.42578125" bestFit="1" customWidth="1"/>
    <col min="5" max="5" width="10.85546875" bestFit="1" customWidth="1"/>
    <col min="6" max="6" width="7.7109375" bestFit="1" customWidth="1"/>
  </cols>
  <sheetData>
    <row r="1" spans="1:6" ht="21" x14ac:dyDescent="0.35">
      <c r="A1" s="1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4">
        <v>60000</v>
      </c>
    </row>
    <row r="4" spans="1:6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25">
      <c r="A5" t="s">
        <v>8</v>
      </c>
      <c r="B5" s="4">
        <v>18000</v>
      </c>
      <c r="C5" s="4">
        <v>18000</v>
      </c>
      <c r="D5" s="4">
        <f t="shared" ref="D5:D12" si="0">B5-C5</f>
        <v>0</v>
      </c>
      <c r="E5" s="6">
        <f t="shared" ref="E5:E12" si="1">C5/$C$13</f>
        <v>0.35502958579881655</v>
      </c>
      <c r="F5" s="7" t="str">
        <f t="shared" ref="F5:F12" si="2">IF(C5&gt;B5,"Over","OK")</f>
        <v>OK</v>
      </c>
    </row>
    <row r="6" spans="1:6" x14ac:dyDescent="0.25">
      <c r="A6" t="s">
        <v>9</v>
      </c>
      <c r="B6" s="4">
        <v>14000</v>
      </c>
      <c r="C6" s="4">
        <v>15250</v>
      </c>
      <c r="D6" s="4">
        <f t="shared" si="0"/>
        <v>-1250</v>
      </c>
      <c r="E6" s="6">
        <f t="shared" si="1"/>
        <v>0.30078895463510846</v>
      </c>
      <c r="F6" s="7" t="str">
        <f t="shared" si="2"/>
        <v>Over</v>
      </c>
    </row>
    <row r="7" spans="1:6" x14ac:dyDescent="0.25">
      <c r="A7" t="s">
        <v>10</v>
      </c>
      <c r="B7" s="4">
        <v>5000</v>
      </c>
      <c r="C7" s="4">
        <v>4300</v>
      </c>
      <c r="D7" s="4">
        <f t="shared" si="0"/>
        <v>700</v>
      </c>
      <c r="E7" s="6">
        <f t="shared" si="1"/>
        <v>8.4812623274161739E-2</v>
      </c>
      <c r="F7" s="7" t="str">
        <f t="shared" si="2"/>
        <v>OK</v>
      </c>
    </row>
    <row r="8" spans="1:6" x14ac:dyDescent="0.25">
      <c r="A8" t="s">
        <v>11</v>
      </c>
      <c r="B8" s="4">
        <v>2500</v>
      </c>
      <c r="C8" s="4">
        <v>2800</v>
      </c>
      <c r="D8" s="4">
        <f t="shared" si="0"/>
        <v>-300</v>
      </c>
      <c r="E8" s="6">
        <f t="shared" si="1"/>
        <v>5.5226824457593686E-2</v>
      </c>
      <c r="F8" s="7" t="str">
        <f t="shared" si="2"/>
        <v>Over</v>
      </c>
    </row>
    <row r="9" spans="1:6" x14ac:dyDescent="0.25">
      <c r="A9" t="s">
        <v>12</v>
      </c>
      <c r="B9" s="4">
        <v>3000</v>
      </c>
      <c r="C9" s="4">
        <v>2150</v>
      </c>
      <c r="D9" s="4">
        <f t="shared" si="0"/>
        <v>850</v>
      </c>
      <c r="E9" s="6">
        <f t="shared" si="1"/>
        <v>4.2406311637080869E-2</v>
      </c>
      <c r="F9" s="7" t="str">
        <f t="shared" si="2"/>
        <v>OK</v>
      </c>
    </row>
    <row r="10" spans="1:6" x14ac:dyDescent="0.25">
      <c r="A10" t="s">
        <v>13</v>
      </c>
      <c r="B10" s="4">
        <v>2000</v>
      </c>
      <c r="C10" s="4">
        <v>1900</v>
      </c>
      <c r="D10" s="4">
        <f t="shared" si="0"/>
        <v>100</v>
      </c>
      <c r="E10" s="6">
        <f t="shared" si="1"/>
        <v>3.7475345167652857E-2</v>
      </c>
      <c r="F10" s="7" t="str">
        <f t="shared" si="2"/>
        <v>OK</v>
      </c>
    </row>
    <row r="11" spans="1:6" x14ac:dyDescent="0.25">
      <c r="A11" t="s">
        <v>14</v>
      </c>
      <c r="B11" s="4">
        <v>2500</v>
      </c>
      <c r="C11" s="4">
        <v>2600</v>
      </c>
      <c r="D11" s="4">
        <f t="shared" si="0"/>
        <v>-100</v>
      </c>
      <c r="E11" s="6">
        <f t="shared" si="1"/>
        <v>5.128205128205128E-2</v>
      </c>
      <c r="F11" s="7" t="str">
        <f t="shared" si="2"/>
        <v>Over</v>
      </c>
    </row>
    <row r="12" spans="1:6" x14ac:dyDescent="0.25">
      <c r="A12" t="s">
        <v>15</v>
      </c>
      <c r="B12" s="4">
        <v>3000</v>
      </c>
      <c r="C12" s="4">
        <v>3700</v>
      </c>
      <c r="D12" s="4">
        <f t="shared" si="0"/>
        <v>-700</v>
      </c>
      <c r="E12" s="6">
        <f t="shared" si="1"/>
        <v>7.2978303747534515E-2</v>
      </c>
      <c r="F12" s="7" t="str">
        <f t="shared" si="2"/>
        <v>Over</v>
      </c>
    </row>
    <row r="13" spans="1:6" x14ac:dyDescent="0.25">
      <c r="A13" s="8" t="s">
        <v>16</v>
      </c>
      <c r="B13" s="9">
        <f>SUM(B5:B12)</f>
        <v>50000</v>
      </c>
      <c r="C13" s="9">
        <f>SUM(C5:C12)</f>
        <v>50700</v>
      </c>
      <c r="D13" s="9">
        <f>SUM(D5:D12)</f>
        <v>-700</v>
      </c>
      <c r="E13" s="10">
        <f>SUM(E5:E12)</f>
        <v>0.99999999999999989</v>
      </c>
      <c r="F13" s="8"/>
    </row>
    <row r="15" spans="1:6" x14ac:dyDescent="0.25">
      <c r="A15" s="3" t="s">
        <v>17</v>
      </c>
      <c r="B15" s="11">
        <f>B2-C13</f>
        <v>9300</v>
      </c>
    </row>
    <row r="17" spans="1:6" x14ac:dyDescent="0.25">
      <c r="A17" s="3" t="s">
        <v>18</v>
      </c>
      <c r="B17" s="2" t="s">
        <v>19</v>
      </c>
      <c r="C17" s="2"/>
      <c r="D17" s="2"/>
      <c r="E17" s="2"/>
      <c r="F17" s="2"/>
    </row>
  </sheetData>
  <mergeCells count="2">
    <mergeCell ref="A1:F1"/>
    <mergeCell ref="B17:F17"/>
  </mergeCells>
  <conditionalFormatting sqref="F5:F12">
    <cfRule type="expression" dxfId="3" priority="1">
      <formula>F5="Over"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F63A-C781-4372-B6CF-506ED586E573}">
  <dimension ref="A1:N32"/>
  <sheetViews>
    <sheetView topLeftCell="C1" workbookViewId="0">
      <selection activeCell="E15" sqref="E15"/>
    </sheetView>
  </sheetViews>
  <sheetFormatPr defaultRowHeight="15" x14ac:dyDescent="0.25"/>
  <cols>
    <col min="1" max="1" width="10.5703125" bestFit="1" customWidth="1"/>
    <col min="2" max="2" width="12.42578125" bestFit="1" customWidth="1"/>
    <col min="3" max="3" width="19.5703125" bestFit="1" customWidth="1"/>
    <col min="4" max="4" width="8.42578125" bestFit="1" customWidth="1"/>
    <col min="5" max="5" width="12.85546875" bestFit="1" customWidth="1"/>
    <col min="6" max="6" width="9.140625" bestFit="1" customWidth="1"/>
    <col min="7" max="7" width="24.42578125" bestFit="1" customWidth="1"/>
    <col min="8" max="8" width="1.28515625" customWidth="1"/>
    <col min="9" max="9" width="22.85546875" customWidth="1"/>
    <col min="10" max="10" width="13.7109375" bestFit="1" customWidth="1"/>
  </cols>
  <sheetData>
    <row r="1" spans="1:14" x14ac:dyDescent="0.25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2"/>
      <c r="I1" s="14" t="s">
        <v>27</v>
      </c>
      <c r="J1" s="14" t="s">
        <v>28</v>
      </c>
      <c r="K1" s="12"/>
      <c r="L1" s="12"/>
      <c r="M1" s="12"/>
      <c r="N1" s="12"/>
    </row>
    <row r="2" spans="1:14" x14ac:dyDescent="0.25">
      <c r="A2" s="12" t="s">
        <v>29</v>
      </c>
      <c r="B2" s="15">
        <v>46266</v>
      </c>
      <c r="C2" s="12" t="s">
        <v>30</v>
      </c>
      <c r="D2" s="16" t="s">
        <v>31</v>
      </c>
      <c r="E2" s="12" t="s">
        <v>32</v>
      </c>
      <c r="F2" s="16" t="s">
        <v>33</v>
      </c>
      <c r="G2" s="12">
        <v>3</v>
      </c>
      <c r="H2" s="12"/>
      <c r="I2" s="12" t="s">
        <v>34</v>
      </c>
      <c r="J2" s="12">
        <f>COUNTIF($D$2:$D$13,I2)</f>
        <v>3</v>
      </c>
      <c r="K2" s="12"/>
      <c r="L2" s="12"/>
      <c r="M2" s="12"/>
      <c r="N2" s="12"/>
    </row>
    <row r="3" spans="1:14" x14ac:dyDescent="0.25">
      <c r="A3" s="12" t="s">
        <v>35</v>
      </c>
      <c r="B3" s="15">
        <v>46268</v>
      </c>
      <c r="C3" s="12" t="s">
        <v>36</v>
      </c>
      <c r="D3" s="16" t="s">
        <v>37</v>
      </c>
      <c r="E3" s="12" t="s">
        <v>38</v>
      </c>
      <c r="F3" s="16" t="s">
        <v>33</v>
      </c>
      <c r="G3" s="12">
        <v>9</v>
      </c>
      <c r="H3" s="12"/>
      <c r="I3" s="12" t="s">
        <v>31</v>
      </c>
      <c r="J3" s="12">
        <f>COUNTIF($D$2:$D$13,I3)</f>
        <v>4</v>
      </c>
      <c r="K3" s="12"/>
      <c r="L3" s="12"/>
      <c r="M3" s="12"/>
      <c r="N3" s="12"/>
    </row>
    <row r="4" spans="1:14" x14ac:dyDescent="0.25">
      <c r="A4" s="12" t="s">
        <v>39</v>
      </c>
      <c r="B4" s="15">
        <v>46270</v>
      </c>
      <c r="C4" s="12" t="s">
        <v>40</v>
      </c>
      <c r="D4" s="16" t="s">
        <v>41</v>
      </c>
      <c r="E4" s="12" t="s">
        <v>42</v>
      </c>
      <c r="F4" s="16" t="s">
        <v>33</v>
      </c>
      <c r="G4" s="12">
        <v>16</v>
      </c>
      <c r="H4" s="12"/>
      <c r="I4" s="12" t="s">
        <v>37</v>
      </c>
      <c r="J4" s="12">
        <f>COUNTIF($D$2:$D$13,I4)</f>
        <v>3</v>
      </c>
      <c r="K4" s="12"/>
      <c r="L4" s="12"/>
      <c r="M4" s="12"/>
      <c r="N4" s="12"/>
    </row>
    <row r="5" spans="1:14" x14ac:dyDescent="0.25">
      <c r="A5" s="12" t="s">
        <v>43</v>
      </c>
      <c r="B5" s="15">
        <v>46273</v>
      </c>
      <c r="C5" s="12" t="s">
        <v>30</v>
      </c>
      <c r="D5" s="16" t="s">
        <v>34</v>
      </c>
      <c r="E5" s="12" t="s">
        <v>44</v>
      </c>
      <c r="F5" s="16" t="s">
        <v>33</v>
      </c>
      <c r="G5" s="12">
        <v>1</v>
      </c>
      <c r="H5" s="12"/>
      <c r="I5" s="12" t="s">
        <v>41</v>
      </c>
      <c r="J5" s="12">
        <f>COUNTIF($D$2:$D$13,I5)</f>
        <v>2</v>
      </c>
      <c r="K5" s="12"/>
      <c r="L5" s="12"/>
      <c r="M5" s="12"/>
      <c r="N5" s="12"/>
    </row>
    <row r="6" spans="1:14" x14ac:dyDescent="0.25">
      <c r="A6" s="12" t="s">
        <v>45</v>
      </c>
      <c r="B6" s="15">
        <v>46275</v>
      </c>
      <c r="C6" s="12" t="s">
        <v>46</v>
      </c>
      <c r="D6" s="16" t="s">
        <v>31</v>
      </c>
      <c r="E6" s="12" t="s">
        <v>47</v>
      </c>
      <c r="F6" s="16" t="s">
        <v>48</v>
      </c>
      <c r="G6" s="12"/>
      <c r="H6" s="12"/>
      <c r="I6" s="12" t="s">
        <v>49</v>
      </c>
      <c r="J6" s="12">
        <f>COUNTA(A2:A13)</f>
        <v>12</v>
      </c>
      <c r="K6" s="12"/>
      <c r="L6" s="12"/>
      <c r="M6" s="12"/>
      <c r="N6" s="12"/>
    </row>
    <row r="7" spans="1:14" x14ac:dyDescent="0.25">
      <c r="A7" s="12" t="s">
        <v>50</v>
      </c>
      <c r="B7" s="15">
        <v>46277</v>
      </c>
      <c r="C7" s="12" t="s">
        <v>51</v>
      </c>
      <c r="D7" s="16" t="s">
        <v>37</v>
      </c>
      <c r="E7" s="12" t="s">
        <v>42</v>
      </c>
      <c r="F7" s="16" t="s">
        <v>33</v>
      </c>
      <c r="G7" s="12">
        <v>6</v>
      </c>
      <c r="H7" s="12"/>
      <c r="I7" s="12" t="s">
        <v>52</v>
      </c>
      <c r="J7" s="12">
        <f>COUNTIF(F2:F13,"Open")</f>
        <v>3</v>
      </c>
      <c r="K7" s="12"/>
      <c r="L7" s="12"/>
      <c r="M7" s="12"/>
      <c r="N7" s="12"/>
    </row>
    <row r="8" spans="1:14" x14ac:dyDescent="0.25">
      <c r="A8" s="12" t="s">
        <v>53</v>
      </c>
      <c r="B8" s="15">
        <v>46280</v>
      </c>
      <c r="C8" s="12" t="s">
        <v>30</v>
      </c>
      <c r="D8" s="16" t="s">
        <v>31</v>
      </c>
      <c r="E8" s="12" t="s">
        <v>54</v>
      </c>
      <c r="F8" s="16" t="s">
        <v>33</v>
      </c>
      <c r="G8" s="12">
        <v>2</v>
      </c>
      <c r="H8" s="12"/>
      <c r="I8" s="12" t="s">
        <v>55</v>
      </c>
      <c r="J8" s="12">
        <f>COUNTIF(C2:C13,"Phishing Email")</f>
        <v>4</v>
      </c>
      <c r="K8" s="12"/>
      <c r="L8" s="12"/>
      <c r="M8" s="12"/>
      <c r="N8" s="12"/>
    </row>
    <row r="9" spans="1:14" x14ac:dyDescent="0.25">
      <c r="A9" s="12" t="s">
        <v>56</v>
      </c>
      <c r="B9" s="15">
        <v>46283</v>
      </c>
      <c r="C9" s="12" t="s">
        <v>57</v>
      </c>
      <c r="D9" s="16" t="s">
        <v>41</v>
      </c>
      <c r="E9" s="12" t="s">
        <v>58</v>
      </c>
      <c r="F9" s="16" t="s">
        <v>48</v>
      </c>
      <c r="G9" s="12"/>
      <c r="H9" s="12"/>
      <c r="I9" s="12" t="s">
        <v>59</v>
      </c>
      <c r="J9" s="17">
        <f>AVERAGE(G2:G13)</f>
        <v>4.8888888888888893</v>
      </c>
      <c r="K9" s="12"/>
      <c r="L9" s="12"/>
      <c r="M9" s="12"/>
      <c r="N9" s="12"/>
    </row>
    <row r="10" spans="1:14" x14ac:dyDescent="0.25">
      <c r="A10" s="12" t="s">
        <v>60</v>
      </c>
      <c r="B10" s="15">
        <v>46286</v>
      </c>
      <c r="C10" s="12" t="s">
        <v>36</v>
      </c>
      <c r="D10" s="16" t="s">
        <v>34</v>
      </c>
      <c r="E10" s="12" t="s">
        <v>61</v>
      </c>
      <c r="F10" s="16" t="s">
        <v>33</v>
      </c>
      <c r="G10" s="12">
        <v>4</v>
      </c>
      <c r="H10" s="12"/>
      <c r="I10" s="12" t="s">
        <v>62</v>
      </c>
      <c r="J10" s="12">
        <f>MAX(G2:G13)</f>
        <v>16</v>
      </c>
      <c r="K10" s="12"/>
      <c r="L10" s="12"/>
      <c r="M10" s="12"/>
      <c r="N10" s="12"/>
    </row>
    <row r="11" spans="1:14" x14ac:dyDescent="0.25">
      <c r="A11" s="12" t="s">
        <v>63</v>
      </c>
      <c r="B11" s="15">
        <v>46289</v>
      </c>
      <c r="C11" s="12" t="s">
        <v>64</v>
      </c>
      <c r="D11" s="16" t="s">
        <v>34</v>
      </c>
      <c r="E11" s="12" t="s">
        <v>32</v>
      </c>
      <c r="F11" s="16" t="s">
        <v>33</v>
      </c>
      <c r="G11" s="12">
        <v>1</v>
      </c>
      <c r="H11" s="12"/>
      <c r="I11" s="12"/>
      <c r="J11" s="12"/>
      <c r="K11" s="12"/>
      <c r="L11" s="12"/>
      <c r="M11" s="12"/>
      <c r="N11" s="12"/>
    </row>
    <row r="12" spans="1:14" x14ac:dyDescent="0.25">
      <c r="A12" s="12" t="s">
        <v>65</v>
      </c>
      <c r="B12" s="15">
        <v>46292</v>
      </c>
      <c r="C12" s="12" t="s">
        <v>40</v>
      </c>
      <c r="D12" s="16" t="s">
        <v>37</v>
      </c>
      <c r="E12" s="12" t="s">
        <v>38</v>
      </c>
      <c r="F12" s="16" t="s">
        <v>48</v>
      </c>
      <c r="G12" s="12"/>
      <c r="H12" s="12"/>
      <c r="I12" s="12"/>
      <c r="J12" s="12"/>
      <c r="K12" s="12"/>
      <c r="L12" s="12"/>
      <c r="M12" s="12"/>
      <c r="N12" s="12"/>
    </row>
    <row r="13" spans="1:14" x14ac:dyDescent="0.25">
      <c r="A13" s="12" t="s">
        <v>66</v>
      </c>
      <c r="B13" s="15">
        <v>46294</v>
      </c>
      <c r="C13" s="12" t="s">
        <v>30</v>
      </c>
      <c r="D13" s="16" t="s">
        <v>31</v>
      </c>
      <c r="E13" s="12" t="s">
        <v>47</v>
      </c>
      <c r="F13" s="16" t="s">
        <v>33</v>
      </c>
      <c r="G13" s="12">
        <v>2</v>
      </c>
      <c r="H13" s="12"/>
      <c r="I13" s="12"/>
      <c r="J13" s="12"/>
      <c r="K13" s="12"/>
      <c r="L13" s="12"/>
      <c r="M13" s="12"/>
      <c r="N13" s="12"/>
    </row>
    <row r="14" spans="1:14" x14ac:dyDescent="0.25">
      <c r="A14" s="12"/>
      <c r="B14" s="12"/>
      <c r="C14" s="12"/>
      <c r="D14" s="12"/>
      <c r="E14" s="12"/>
      <c r="F14" s="12"/>
      <c r="G14" s="18" t="s">
        <v>67</v>
      </c>
      <c r="H14" s="12"/>
      <c r="I14" s="12"/>
      <c r="J14" s="12"/>
      <c r="K14" s="12"/>
      <c r="L14" s="12"/>
      <c r="M14" s="12"/>
      <c r="N14" s="12"/>
    </row>
    <row r="15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</sheetData>
  <conditionalFormatting sqref="D2:D13">
    <cfRule type="expression" dxfId="2" priority="1">
      <formula>D2="Critical"</formula>
    </cfRule>
    <cfRule type="expression" dxfId="1" priority="2">
      <formula>D2="High"</formula>
    </cfRule>
  </conditionalFormatting>
  <conditionalFormatting sqref="F2:F13">
    <cfRule type="expression" dxfId="0" priority="3">
      <formula>F2="Open"</formula>
    </cfRule>
  </conditionalFormatting>
  <dataValidations count="1">
    <dataValidation type="list" showErrorMessage="1" errorTitle="Invalid Severity" error="Choose Low, Medium, High, or Critical from the list." promptTitle="Severity" prompt="Select a severity level from the list." sqref="D2:D13" xr:uid="{13AE11CE-9004-4ABE-BD0A-3009EEE7C64A}">
      <formula1>"Low,Medium,High,Critical"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18B2-9204-4B72-84ED-D469022FAA41}">
  <dimension ref="A1:C17"/>
  <sheetViews>
    <sheetView tabSelected="1" workbookViewId="0">
      <selection activeCell="P8" activeCellId="1" sqref="H17 P8"/>
    </sheetView>
  </sheetViews>
  <sheetFormatPr defaultRowHeight="15" x14ac:dyDescent="0.25"/>
  <cols>
    <col min="1" max="1" width="11.28515625" bestFit="1" customWidth="1"/>
    <col min="2" max="2" width="27.5703125" customWidth="1"/>
    <col min="3" max="3" width="15.7109375" customWidth="1"/>
  </cols>
  <sheetData>
    <row r="1" spans="1:3" x14ac:dyDescent="0.25">
      <c r="A1" s="19" t="s">
        <v>70</v>
      </c>
      <c r="B1" s="19" t="s">
        <v>71</v>
      </c>
      <c r="C1" s="19" t="s">
        <v>72</v>
      </c>
    </row>
    <row r="2" spans="1:3" x14ac:dyDescent="0.25">
      <c r="A2" s="20" t="s">
        <v>68</v>
      </c>
      <c r="B2" s="20" t="s">
        <v>74</v>
      </c>
      <c r="C2" s="21">
        <v>50000</v>
      </c>
    </row>
    <row r="3" spans="1:3" x14ac:dyDescent="0.25">
      <c r="A3" s="20" t="s">
        <v>68</v>
      </c>
      <c r="B3" s="20" t="s">
        <v>75</v>
      </c>
      <c r="C3" s="21">
        <v>50700</v>
      </c>
    </row>
    <row r="4" spans="1:3" x14ac:dyDescent="0.25">
      <c r="A4" s="20" t="s">
        <v>68</v>
      </c>
      <c r="B4" s="20" t="s">
        <v>76</v>
      </c>
      <c r="C4" s="20">
        <v>-700</v>
      </c>
    </row>
    <row r="5" spans="1:3" x14ac:dyDescent="0.25">
      <c r="A5" s="20" t="s">
        <v>68</v>
      </c>
      <c r="B5" s="20" t="s">
        <v>77</v>
      </c>
      <c r="C5" s="22">
        <v>0.35499999999999998</v>
      </c>
    </row>
    <row r="6" spans="1:3" x14ac:dyDescent="0.25">
      <c r="A6" s="20" t="s">
        <v>68</v>
      </c>
      <c r="B6" s="20" t="s">
        <v>78</v>
      </c>
      <c r="C6" s="22">
        <v>0.30099999999999999</v>
      </c>
    </row>
    <row r="7" spans="1:3" x14ac:dyDescent="0.25">
      <c r="A7" s="20" t="s">
        <v>68</v>
      </c>
      <c r="B7" s="20" t="s">
        <v>69</v>
      </c>
      <c r="C7" s="20">
        <v>4</v>
      </c>
    </row>
    <row r="8" spans="1:3" x14ac:dyDescent="0.25">
      <c r="A8" s="20" t="s">
        <v>68</v>
      </c>
      <c r="B8" s="20" t="s">
        <v>79</v>
      </c>
      <c r="C8" s="21">
        <v>9300</v>
      </c>
    </row>
    <row r="9" spans="1:3" x14ac:dyDescent="0.25">
      <c r="A9" s="20" t="s">
        <v>73</v>
      </c>
      <c r="B9" s="20" t="s">
        <v>80</v>
      </c>
      <c r="C9" s="20">
        <v>3</v>
      </c>
    </row>
    <row r="10" spans="1:3" x14ac:dyDescent="0.25">
      <c r="A10" s="20" t="s">
        <v>73</v>
      </c>
      <c r="B10" s="20" t="s">
        <v>81</v>
      </c>
      <c r="C10" s="20">
        <v>4</v>
      </c>
    </row>
    <row r="11" spans="1:3" x14ac:dyDescent="0.25">
      <c r="A11" s="20" t="s">
        <v>73</v>
      </c>
      <c r="B11" s="20" t="s">
        <v>82</v>
      </c>
      <c r="C11" s="20">
        <v>3</v>
      </c>
    </row>
    <row r="12" spans="1:3" x14ac:dyDescent="0.25">
      <c r="A12" s="20" t="s">
        <v>73</v>
      </c>
      <c r="B12" s="20" t="s">
        <v>83</v>
      </c>
      <c r="C12" s="20">
        <v>2</v>
      </c>
    </row>
    <row r="13" spans="1:3" x14ac:dyDescent="0.25">
      <c r="A13" s="20" t="s">
        <v>73</v>
      </c>
      <c r="B13" s="20" t="s">
        <v>84</v>
      </c>
      <c r="C13" s="20">
        <v>12</v>
      </c>
    </row>
    <row r="14" spans="1:3" x14ac:dyDescent="0.25">
      <c r="A14" s="20" t="s">
        <v>73</v>
      </c>
      <c r="B14" s="20" t="s">
        <v>85</v>
      </c>
      <c r="C14" s="20">
        <v>3</v>
      </c>
    </row>
    <row r="15" spans="1:3" x14ac:dyDescent="0.25">
      <c r="A15" s="20" t="s">
        <v>73</v>
      </c>
      <c r="B15" s="20" t="s">
        <v>86</v>
      </c>
      <c r="C15" s="20">
        <v>4</v>
      </c>
    </row>
    <row r="16" spans="1:3" x14ac:dyDescent="0.25">
      <c r="A16" s="20" t="s">
        <v>73</v>
      </c>
      <c r="B16" s="20" t="s">
        <v>87</v>
      </c>
      <c r="C16" s="20">
        <v>4.8899999999999997</v>
      </c>
    </row>
    <row r="17" spans="1:3" x14ac:dyDescent="0.25">
      <c r="A17" s="20" t="s">
        <v>73</v>
      </c>
      <c r="B17" s="20" t="s">
        <v>88</v>
      </c>
      <c r="C17" s="2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</vt:lpstr>
      <vt:lpstr>Incident Log</vt:lpstr>
      <vt:lpstr>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Athar Imran , ..</dc:creator>
  <cp:lastModifiedBy>Muhammad Athar Imran , ..</cp:lastModifiedBy>
  <dcterms:created xsi:type="dcterms:W3CDTF">2015-06-05T18:17:20Z</dcterms:created>
  <dcterms:modified xsi:type="dcterms:W3CDTF">2026-10-14T08:37:51Z</dcterms:modified>
</cp:coreProperties>
</file>